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wang\Desktop\Mapping (QGIS)\"/>
    </mc:Choice>
  </mc:AlternateContent>
  <xr:revisionPtr revIDLastSave="0" documentId="13_ncr:1_{EC311495-D0A6-49B1-9170-6E31961615CA}" xr6:coauthVersionLast="47" xr6:coauthVersionMax="47" xr10:uidLastSave="{00000000-0000-0000-0000-000000000000}"/>
  <bookViews>
    <workbookView xWindow="-80" yWindow="-80" windowWidth="19360" windowHeight="11440" firstSheet="1" activeTab="1" xr2:uid="{0FCFF9C6-2D8E-4157-B53A-C553749B5AE6}"/>
  </bookViews>
  <sheets>
    <sheet name="안내" sheetId="4" r:id="rId1"/>
    <sheet name="Population Data" sheetId="1" r:id="rId2"/>
    <sheet name="QGIS 필드 설계" sheetId="3" r:id="rId3"/>
    <sheet name="QGIS Guid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" i="1" l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Hyuk Hwang</author>
  </authors>
  <commentList>
    <comment ref="B1" authorId="0" shapeId="0" xr:uid="{43B96BC6-EAB4-499E-8EA4-D68114DD2908}">
      <text>
        <r>
          <rPr>
            <b/>
            <sz val="9"/>
            <color indexed="81"/>
            <rFont val="Tahoma"/>
            <family val="2"/>
          </rPr>
          <t>Hyuk Hwang:</t>
        </r>
        <r>
          <rPr>
            <sz val="9"/>
            <color indexed="81"/>
            <rFont val="Tahoma"/>
            <family val="2"/>
          </rPr>
          <t xml:space="preserve">
National Population and Houssing Census 2021
https://censusresults.nsonepal.gov.np/population?province=1</t>
        </r>
      </text>
    </comment>
    <comment ref="F1" authorId="0" shapeId="0" xr:uid="{773F5F0A-07FC-43BB-9EDA-748DE30341FF}">
      <text>
        <r>
          <rPr>
            <b/>
            <sz val="9"/>
            <color indexed="81"/>
            <rFont val="Tahoma"/>
            <family val="2"/>
          </rPr>
          <t>Hyuk Hwang:</t>
        </r>
        <r>
          <rPr>
            <sz val="9"/>
            <color indexed="81"/>
            <rFont val="Tahoma"/>
            <family val="2"/>
          </rPr>
          <t xml:space="preserve">
UNDP RAPID / Government
https://teams.public.onecdn.static.microsoft/evergreen-assets/safelinks/2/atp-safelinks.html</t>
        </r>
      </text>
    </comment>
  </commentList>
</comments>
</file>

<file path=xl/sharedStrings.xml><?xml version="1.0" encoding="utf-8"?>
<sst xmlns="http://schemas.openxmlformats.org/spreadsheetml/2006/main" count="432" uniqueCount="226">
  <si>
    <t>Rasuwa</t>
  </si>
  <si>
    <t>Gosaikunda</t>
  </si>
  <si>
    <t>Rural Municipality</t>
  </si>
  <si>
    <t>Kalika</t>
  </si>
  <si>
    <t>Aama chhodingmo</t>
  </si>
  <si>
    <t>Uttargaya</t>
  </si>
  <si>
    <t>Nuwakot</t>
  </si>
  <si>
    <t>Belkotgadhi</t>
  </si>
  <si>
    <t>Municipality</t>
  </si>
  <si>
    <t>Bidur</t>
  </si>
  <si>
    <t>Kispang</t>
  </si>
  <si>
    <t>Tarakeshwor</t>
  </si>
  <si>
    <t>Dhading</t>
  </si>
  <si>
    <t>Benighat Rorang</t>
  </si>
  <si>
    <t>Gajuri</t>
  </si>
  <si>
    <t>Galchhi</t>
  </si>
  <si>
    <t>Siddhalek</t>
  </si>
  <si>
    <t>Gorkha</t>
  </si>
  <si>
    <t>Gandaki</t>
  </si>
  <si>
    <t>Tanahu</t>
  </si>
  <si>
    <t>Aanbu Khaireni</t>
  </si>
  <si>
    <t>Devghat</t>
  </si>
  <si>
    <t>district</t>
  </si>
  <si>
    <t>local_unit</t>
  </si>
  <si>
    <t>unit_type</t>
  </si>
  <si>
    <t>join_key</t>
  </si>
  <si>
    <t>pop_total</t>
  </si>
  <si>
    <t>pop_affected</t>
  </si>
  <si>
    <t>pop_unaffected</t>
  </si>
  <si>
    <t>affected_pct</t>
  </si>
  <si>
    <t>data_status</t>
  </si>
  <si>
    <t>QGIS 지역별 Population Pie Chart 템플릿</t>
  </si>
  <si>
    <t>지역 경계 레이어에 인구 집계값을 조인한 뒤, 영향/비영향 인구를 파이차트로 표시합니다.</t>
  </si>
  <si>
    <t>입력 및 계산 필드</t>
  </si>
  <si>
    <t>필드</t>
  </si>
  <si>
    <t>입력 여부</t>
  </si>
  <si>
    <t>용도</t>
  </si>
  <si>
    <t>입력</t>
  </si>
  <si>
    <t>상위 행정구역</t>
  </si>
  <si>
    <t>Municipality/Ward 이름; 경계 레이어와 철자 일치 필요</t>
  </si>
  <si>
    <t>Municipality, Rural Municipality, Ward 등</t>
  </si>
  <si>
    <t>자동</t>
  </si>
  <si>
    <t>district + local_unit 조인 키</t>
  </si>
  <si>
    <t>해당 지역의 전체 인구</t>
  </si>
  <si>
    <t>해당 지역의 영향 인구</t>
  </si>
  <si>
    <t>전체 인구 - 영향 인구</t>
  </si>
  <si>
    <t>영향 인구 ÷ 전체 인구</t>
  </si>
  <si>
    <t>누락·음수·영향 인구 초과 여부 점검</t>
  </si>
  <si>
    <t>QGIS 설정 순서</t>
  </si>
  <si>
    <t>Population Data 시트의 pop_total과 pop_affected에 지역별 값을 입력합니다.</t>
  </si>
  <si>
    <t>PopulationByArea 표를 CSV UTF-8로 저장한 뒤 QGIS에 불러옵니다.</t>
  </si>
  <si>
    <t>지역 경계 레이어와 표를 join_key로 조인합니다. 경계 레이어에도 동일한 키를 만듭니다.</t>
  </si>
  <si>
    <t>Layer Properties → Diagrams → Pie chart를 선택합니다.</t>
  </si>
  <si>
    <t>파이 조각 필드로 pop_affected와 pop_unaffected를 추가합니다.</t>
  </si>
  <si>
    <t>크기는 pop_total에 비례하도록 설정하고 Placement는 Over point 또는 Around centroid를 사용합니다.</t>
  </si>
  <si>
    <t>중요: pop_total에는 pop_affected가 포함되므로 두 값을 그대로 파이 조각으로 쓰면 중복됩니다. 파이 조각은 pop_affected + pop_unaffected를 사용하고, 전체 파이 크기만 pop_total에 비례시킵니다.</t>
  </si>
  <si>
    <t>QGIS WASH 평가 필드 설계</t>
  </si>
  <si>
    <t>향후 현장·공간·비용·우선순위 데이터를 추가하기 위한 필드 사전입니다. 값이 공개되지 않은 항목은 추정하지 말고 공란과 data_status로 관리합니다.</t>
  </si>
  <si>
    <t>구분</t>
  </si>
  <si>
    <t>영역</t>
  </si>
  <si>
    <t>필드명</t>
  </si>
  <si>
    <t>권장 형식</t>
  </si>
  <si>
    <t>처리 방식</t>
  </si>
  <si>
    <t>입력·계산 규칙</t>
  </si>
  <si>
    <t>비고</t>
  </si>
  <si>
    <t>LOCATION</t>
  </si>
  <si>
    <t>문자</t>
  </si>
  <si>
    <t>공식 영문 표기를 사용</t>
  </si>
  <si>
    <t>QGIS 경계 레이어와 철자를 일치</t>
  </si>
  <si>
    <t>Municipality/Rural Municipality 이름</t>
  </si>
  <si>
    <t>local_unit_code</t>
  </si>
  <si>
    <t>선행 0 보존을 위해 문자형 권장</t>
  </si>
  <si>
    <t>공식 행정코드</t>
  </si>
  <si>
    <t>ward</t>
  </si>
  <si>
    <t>정수</t>
  </si>
  <si>
    <t>지자체 단위 자료면 공란 허용</t>
  </si>
  <si>
    <t>Ward 번호</t>
  </si>
  <si>
    <t>POPULATION</t>
  </si>
  <si>
    <t>0 이상의 전체 인구</t>
  </si>
  <si>
    <t>기준연도와 출처 명시</t>
  </si>
  <si>
    <t>pop_exposed</t>
  </si>
  <si>
    <t>검증된 값만 입력; 미공개는 공란</t>
  </si>
  <si>
    <t>현재 Population Data의 pop_affected와 같은 개념</t>
  </si>
  <si>
    <t>pop_total - pop_exposed</t>
  </si>
  <si>
    <t>둘 중 하나가 공란이면 공란 유지</t>
  </si>
  <si>
    <t>소수/백분율</t>
  </si>
  <si>
    <t>pop_exposed / pop_total</t>
  </si>
  <si>
    <t>0.0% 형식 권장</t>
  </si>
  <si>
    <t>children_u5_total</t>
  </si>
  <si>
    <t>5세 미만 전체 인구</t>
  </si>
  <si>
    <t>연령 기준과 기준연도 기록</t>
  </si>
  <si>
    <t>children_u5_exposed</t>
  </si>
  <si>
    <t>5세 미만 노출 인구</t>
  </si>
  <si>
    <t>children_u5_total 이하인지 점검</t>
  </si>
  <si>
    <t>EXPOSURE</t>
  </si>
  <si>
    <t>flood_exposure</t>
  </si>
  <si>
    <t>범주/문자</t>
  </si>
  <si>
    <t>None/Low/Medium/High 등 표준값 사용</t>
  </si>
  <si>
    <t>분류 기준 별도 문서화</t>
  </si>
  <si>
    <t>flood_exposure_area_km2</t>
  </si>
  <si>
    <t>소수</t>
  </si>
  <si>
    <t>입력/산정</t>
  </si>
  <si>
    <t>0 이상의 km²</t>
  </si>
  <si>
    <t>QGIS 공간분석 결과 사용 가능</t>
  </si>
  <si>
    <t>water_system_exposure</t>
  </si>
  <si>
    <t>노출 수준 또는 시설 수 중 한 방식으로 통일</t>
  </si>
  <si>
    <t>단위 혼용 금지</t>
  </si>
  <si>
    <t>pipeline_exposure_km</t>
  </si>
  <si>
    <t>0 이상의 km</t>
  </si>
  <si>
    <t>노출 관로 길이</t>
  </si>
  <si>
    <t>sanitation_exposure</t>
  </si>
  <si>
    <t>표준 분류값 사용</t>
  </si>
  <si>
    <t>노출 화장실/처리시설 범위 정의</t>
  </si>
  <si>
    <t>CURRENT WASH SITUATION</t>
  </si>
  <si>
    <t>current_water_source</t>
  </si>
  <si>
    <t>주요 수원 유형 기록</t>
  </si>
  <si>
    <t>복수이면 세미콜론으로 구분</t>
  </si>
  <si>
    <t>water_availability</t>
  </si>
  <si>
    <t>Available/Limited/Unavailable 등</t>
  </si>
  <si>
    <t>허용값 목록 권장</t>
  </si>
  <si>
    <t>water_quantity_risk</t>
  </si>
  <si>
    <t>Low/Medium/High/Critical</t>
  </si>
  <si>
    <t>평가 기준 통일</t>
  </si>
  <si>
    <t>water_quality_risk</t>
  </si>
  <si>
    <t>검사 또는 현장평가 근거 기록</t>
  </si>
  <si>
    <t>water_safety_risk</t>
  </si>
  <si>
    <t>취수·운반·저장 위험 포함</t>
  </si>
  <si>
    <t>sanitation_status</t>
  </si>
  <si>
    <t>Functional/Partial/Non-functional 등</t>
  </si>
  <si>
    <t>NEEDS / VULNERABILITY</t>
  </si>
  <si>
    <t>main_problem</t>
  </si>
  <si>
    <t>가장 시급한 문제를 간결히 기록</t>
  </si>
  <si>
    <t>장문은 remarks에 보완</t>
  </si>
  <si>
    <t>host_community_risk</t>
  </si>
  <si>
    <t>수용 지역사회 부담</t>
  </si>
  <si>
    <t>temporary_settlement</t>
  </si>
  <si>
    <t>예/아니오 또는 정수</t>
  </si>
  <si>
    <t>존재 여부 또는 개소 수 중 한 방식으로 통일</t>
  </si>
  <si>
    <t>필드 정의 확정 필요</t>
  </si>
  <si>
    <t>schools_exposed</t>
  </si>
  <si>
    <t>노출 학교 수</t>
  </si>
  <si>
    <t>0 이상</t>
  </si>
  <si>
    <t>health_facilities_exposed</t>
  </si>
  <si>
    <t>노출 보건시설 수</t>
  </si>
  <si>
    <t>accessibility</t>
  </si>
  <si>
    <t>Accessible/Limited/Inaccessible 등</t>
  </si>
  <si>
    <t>계절·도로 상태 고려</t>
  </si>
  <si>
    <t>RESPONSE</t>
  </si>
  <si>
    <t>immediate_solution</t>
  </si>
  <si>
    <t>즉시 실행 가능한 조치</t>
  </si>
  <si>
    <t>예: 급수, 정수제, 임시 화장실</t>
  </si>
  <si>
    <t>medium_term_solution</t>
  </si>
  <si>
    <t>중기 복구 조치</t>
  </si>
  <si>
    <t>기간 기준을 프로젝트에서 통일</t>
  </si>
  <si>
    <t>long_term_solution</t>
  </si>
  <si>
    <t>장기 회복력 강화 조치</t>
  </si>
  <si>
    <t>설계·재건 포함</t>
  </si>
  <si>
    <t>response_gap</t>
  </si>
  <si>
    <t>현재 대응과 필요 사이의 격차</t>
  </si>
  <si>
    <t>수량·대상·기간을 가능하면 명시</t>
  </si>
  <si>
    <t>COST</t>
  </si>
  <si>
    <t>water_infrastructure_cost</t>
  </si>
  <si>
    <t>통화/소수</t>
  </si>
  <si>
    <t>0 이상의 동일 통화</t>
  </si>
  <si>
    <t>통화 단위 별도 고정</t>
  </si>
  <si>
    <t>pipeline_cost</t>
  </si>
  <si>
    <t>관로 복구·교체 비용</t>
  </si>
  <si>
    <t>sanitation_cost</t>
  </si>
  <si>
    <t>위생시설 비용</t>
  </si>
  <si>
    <t>immediate_cost</t>
  </si>
  <si>
    <t>즉시 대응 비용</t>
  </si>
  <si>
    <t>비용 항목 중복 주의</t>
  </si>
  <si>
    <t>medium_term_cost</t>
  </si>
  <si>
    <t>중기 대응 비용</t>
  </si>
  <si>
    <t>long_term_cost</t>
  </si>
  <si>
    <t>장기 대응 비용</t>
  </si>
  <si>
    <t>total_estimated_cost</t>
  </si>
  <si>
    <t>자동/검토</t>
  </si>
  <si>
    <t>채택한 비용 구조의 합계</t>
  </si>
  <si>
    <t>인프라별 합계와 기간별 합계를 동시에 더하지 않도록 규칙 확정</t>
  </si>
  <si>
    <t>cost_status</t>
  </si>
  <si>
    <t>Draft/Estimated/Validated/Approved 등</t>
  </si>
  <si>
    <t>PRIORITY</t>
  </si>
  <si>
    <t>population_score</t>
  </si>
  <si>
    <t>산정</t>
  </si>
  <si>
    <t>정의된 점수 범위 사용</t>
  </si>
  <si>
    <t>가중치 규칙 필요</t>
  </si>
  <si>
    <t>water_access_score</t>
  </si>
  <si>
    <t>water_safety_score</t>
  </si>
  <si>
    <t>infrastructure_score</t>
  </si>
  <si>
    <t>vulnerability_score</t>
  </si>
  <si>
    <t>critical_facility_score</t>
  </si>
  <si>
    <t>학교·보건시설 반영</t>
  </si>
  <si>
    <t>access_score</t>
  </si>
  <si>
    <t>접근 곤란도 반영</t>
  </si>
  <si>
    <t>priority_score</t>
  </si>
  <si>
    <t>개별 점수의 가중 합계</t>
  </si>
  <si>
    <t>가중치 합계 100% 권장</t>
  </si>
  <si>
    <t>priority_class</t>
  </si>
  <si>
    <t>priority_score 임계값으로 분류</t>
  </si>
  <si>
    <t>Low/Medium/High/Critical 등</t>
  </si>
  <si>
    <t>DATA QUALITY</t>
  </si>
  <si>
    <t>입력/자동</t>
  </si>
  <si>
    <t>Complete/Partial/Not publicly disaggregated/Needs validation 등</t>
  </si>
  <si>
    <t>기존 Ready/Enter data보다 상세한 상태값 권장</t>
  </si>
  <si>
    <t>source</t>
  </si>
  <si>
    <t>기관·보고서·링크 또는 문서명</t>
  </si>
  <si>
    <t>검증 가능한 출처</t>
  </si>
  <si>
    <t>assessment_date</t>
  </si>
  <si>
    <t>날짜</t>
  </si>
  <si>
    <t>yyyy-mm-dd</t>
  </si>
  <si>
    <t>현장평가 또는 자료 기준일</t>
  </si>
  <si>
    <t>last_updated</t>
  </si>
  <si>
    <t>마지막 수정일</t>
  </si>
  <si>
    <t>remarks</t>
  </si>
  <si>
    <t>가정·제약·검증 필요 사항</t>
  </si>
  <si>
    <t>미공개 세분값 등 중요 주석 기록</t>
  </si>
  <si>
    <t>Population &amp; QGIS 작업 안내</t>
  </si>
  <si>
    <t>인구 입력, QGIS 지도 제작 절차, 확장 필드 설계를 한 곳에서 안내합니다.</t>
  </si>
  <si>
    <t>시트</t>
  </si>
  <si>
    <t>Population Data</t>
  </si>
  <si>
    <t>지역별 전체·영향·비영향 인구 입력 및 계산</t>
  </si>
  <si>
    <t>QGIS Guide</t>
  </si>
  <si>
    <t>인구 파이차트 조인 및 QGIS 설정 절차</t>
  </si>
  <si>
    <t>QGIS 필드 설계</t>
  </si>
  <si>
    <t>향후 WASH·노출·대응·비용·우선순위 데이터 필드 사전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</si>
</sst>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1"/>
      <color rgb="FF2F6B55"/>
      <name val="Aptos Narrow"/>
      <family val="2"/>
      <scheme val="minor"/>
    </font>
    <font>
      <sz val="11"/>
      <color rgb="FF444444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3D"/>
        <bgColor indexed="64"/>
      </patternFill>
    </fill>
    <fill>
      <patternFill patternType="solid">
        <fgColor rgb="FF2F6B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 applyAlignment="1">
      <alignment wrapText="1"/>
    </xf>
    <xf numFmtId="165" fontId="0" fillId="0" borderId="0" xfId="0" applyNumberFormat="1" applyAlignment="1">
      <alignment horizontal="center"/>
    </xf>
    <xf numFmtId="0" fontId="3" fillId="7" borderId="0" xfId="0" applyFont="1" applyFill="1"/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3" fillId="4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2" fillId="5" borderId="0" xfId="0" applyFont="1" applyFill="1" applyAlignment="1">
      <alignment vertical="center"/>
    </xf>
    <xf numFmtId="0" fontId="1" fillId="6" borderId="0" xfId="0" applyFont="1" applyFill="1" applyAlignment="1">
      <alignment vertical="center" wrapText="1"/>
    </xf>
  </cellXfs>
  <cellStyles count="1">
    <cellStyle name="Normal" xfId="0" builtinId="0"/>
  </cellStyles>
  <dxfs count="17">
    <dxf>
      <alignment wrapText="1"/>
    </dxf>
    <dxf>
      <alignment wrapText="1"/>
    </dxf>
    <dxf>
      <alignment horizontal="center"/>
    </dxf>
    <dxf>
      <alignment horizontal="center"/>
    </dxf>
    <dxf>
      <numFmt numFmtId="165" formatCode="00"/>
      <alignment horizontal="center"/>
    </dxf>
    <dxf>
      <font>
        <b/>
        <color rgb="FFFFFFFF"/>
      </font>
      <fill>
        <patternFill patternType="solid">
          <fgColor indexed="64"/>
          <bgColor rgb="FF2F6B55"/>
        </patternFill>
      </fill>
      <alignment horizontal="center"/>
    </dxf>
    <dxf>
      <alignment horizontal="center" vertical="center"/>
    </dxf>
    <dxf>
      <numFmt numFmtId="164" formatCode="0.0%"/>
      <alignment horizontal="right" vertical="center"/>
    </dxf>
    <dxf>
      <numFmt numFmtId="3" formatCode="#,##0"/>
      <alignment horizontal="right" vertical="center"/>
    </dxf>
    <dxf>
      <numFmt numFmtId="3" formatCode="#,##0"/>
      <alignment horizontal="right" vertical="center"/>
    </dxf>
    <dxf>
      <numFmt numFmtId="3" formatCode="#,##0"/>
      <alignment horizontal="right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3E7A5-32F4-4792-A0F3-400DD93D007E}" name="PopulationByArea" displayName="PopulationByArea" ref="A1:I16" totalsRowShown="0" headerRowDxfId="16" dataDxfId="15">
  <autoFilter ref="A1:I16" xr:uid="{DD23E7A5-32F4-4792-A0F3-400DD93D007E}"/>
  <tableColumns count="9">
    <tableColumn id="1" xr3:uid="{99655E8C-FBD3-4471-9F35-D96997888A0E}" name="district" dataDxfId="14"/>
    <tableColumn id="2" xr3:uid="{2791F956-4C4E-4E33-AB24-36D5CC18A1EE}" name="local_unit" dataDxfId="13"/>
    <tableColumn id="3" xr3:uid="{7BE79724-7F3E-49F1-ABC8-B270804BB7D1}" name="unit_type" dataDxfId="12"/>
    <tableColumn id="4" xr3:uid="{C973E511-3870-435E-96C7-BEC0929A3EF7}" name="join_key" dataDxfId="11">
      <calculatedColumnFormula>A2&amp;" | "&amp;B2</calculatedColumnFormula>
    </tableColumn>
    <tableColumn id="5" xr3:uid="{66659E87-8D97-43CA-B691-A23DEC953EF4}" name="pop_total" dataDxfId="10"/>
    <tableColumn id="6" xr3:uid="{7CF53015-C32D-48A3-9251-A6C764A4EEFE}" name="pop_affected" dataDxfId="9"/>
    <tableColumn id="7" xr3:uid="{C71777E3-D982-436E-9426-EA28EA5E48A4}" name="pop_unaffected" dataDxfId="8">
      <calculatedColumnFormula>IF(OR(E2="",F2=""),"",E2-F2)</calculatedColumnFormula>
    </tableColumn>
    <tableColumn id="8" xr3:uid="{E87833A2-0926-4904-ACEF-ADEB6C195F6C}" name="affected_pct" dataDxfId="7">
      <calculatedColumnFormula>IF(OR(E2="",F2=""),"",IFERROR(F2/E2,""))</calculatedColumnFormula>
    </tableColumn>
    <tableColumn id="9" xr3:uid="{A45D8800-9D66-4B22-8305-0AB736CA9C4B}" name="data_status" dataDxfId="6">
      <calculatedColumnFormula>IF(OR(E2="",F2=""),"Enter data",IF(OR(E2&lt;0,F2&lt;0),"Check: negative",IF(F2&gt;E2,"Check: affected &gt; total","Ready")))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6C41E7-552C-48A3-9BBA-18569091ABE8}" name="QGISFieldDictionary" displayName="QGISFieldDictionary" ref="A4:G57" totalsRowShown="0" headerRowDxfId="5">
  <autoFilter ref="A4:G57" xr:uid="{C76C41E7-552C-48A3-9BBA-18569091ABE8}"/>
  <tableColumns count="7">
    <tableColumn id="1" xr3:uid="{4ED1617F-F6E6-4F61-A9B0-30A4AE4E903C}" name="구분" dataDxfId="4"/>
    <tableColumn id="2" xr3:uid="{29B1F9B3-2862-4B10-9D13-28E57118AC08}" name="영역"/>
    <tableColumn id="3" xr3:uid="{FFCD1FC2-DBBA-402B-923D-C167F49DBE45}" name="필드명"/>
    <tableColumn id="4" xr3:uid="{FD5A9E58-D70A-4AC1-AA06-8841CABEFBDD}" name="권장 형식" dataDxfId="3"/>
    <tableColumn id="5" xr3:uid="{963F1B38-192D-4728-9516-F7B999EFE5B3}" name="처리 방식" dataDxfId="2"/>
    <tableColumn id="6" xr3:uid="{7F5685CD-F934-4D5E-99C7-C7CB3FE6C60C}" name="입력·계산 규칙" dataDxfId="1"/>
    <tableColumn id="7" xr3:uid="{49621228-6372-4231-BD3F-CADBE045C87A}" name="비고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C4D9-586A-4EF8-9EF3-EBE102D9A40A}">
  <dimension ref="A1:B7"/>
  <sheetViews>
    <sheetView workbookViewId="0">
      <selection activeCell="M24" sqref="M24"/>
    </sheetView>
  </sheetViews>
  <sheetFormatPr defaultRowHeight="15" x14ac:dyDescent="0.25"/>
  <cols>
    <col min="1" max="1" width="36.42578125" customWidth="1"/>
    <col min="2" max="2" width="63.5703125" customWidth="1"/>
  </cols>
  <sheetData>
    <row r="1" spans="1:2" ht="30" customHeight="1" x14ac:dyDescent="0.4">
      <c r="A1" s="15" t="s">
        <v>217</v>
      </c>
      <c r="B1" s="15"/>
    </row>
    <row r="2" spans="1:2" x14ac:dyDescent="0.25">
      <c r="A2" s="16" t="s">
        <v>218</v>
      </c>
      <c r="B2" s="16"/>
    </row>
    <row r="4" spans="1:2" x14ac:dyDescent="0.25">
      <c r="A4" s="8" t="s">
        <v>219</v>
      </c>
      <c r="B4" s="8" t="s">
        <v>36</v>
      </c>
    </row>
    <row r="5" spans="1:2" x14ac:dyDescent="0.25">
      <c r="A5" s="12" t="s">
        <v>220</v>
      </c>
      <c r="B5" s="13" t="s">
        <v>221</v>
      </c>
    </row>
    <row r="6" spans="1:2" x14ac:dyDescent="0.25">
      <c r="A6" s="12" t="s">
        <v>222</v>
      </c>
      <c r="B6" s="13" t="s">
        <v>223</v>
      </c>
    </row>
    <row r="7" spans="1:2" x14ac:dyDescent="0.25">
      <c r="A7" s="12" t="s">
        <v>224</v>
      </c>
      <c r="B7" s="13" t="s">
        <v>225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B6E7-0E8C-4D2B-BDD6-67D62E18DACC}">
  <dimension ref="A1:I16"/>
  <sheetViews>
    <sheetView tabSelected="1" zoomScale="160" zoomScaleNormal="160" workbookViewId="0">
      <selection activeCell="H18" sqref="H18"/>
    </sheetView>
  </sheetViews>
  <sheetFormatPr defaultRowHeight="15" x14ac:dyDescent="0.25"/>
  <cols>
    <col min="1" max="1" width="16.140625" customWidth="1"/>
    <col min="2" max="2" width="27.5703125" customWidth="1"/>
    <col min="3" max="3" width="21.85546875" hidden="1" customWidth="1"/>
    <col min="4" max="4" width="38.140625" hidden="1" customWidth="1"/>
    <col min="5" max="5" width="17.140625" customWidth="1"/>
    <col min="6" max="6" width="20" customWidth="1"/>
    <col min="7" max="7" width="21" customWidth="1"/>
    <col min="8" max="8" width="17.140625" customWidth="1"/>
    <col min="9" max="9" width="28.5703125" customWidth="1"/>
  </cols>
  <sheetData>
    <row r="1" spans="1:9" ht="26.1" customHeigh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</row>
    <row r="2" spans="1:9" x14ac:dyDescent="0.25">
      <c r="A2" s="1" t="s">
        <v>0</v>
      </c>
      <c r="B2" s="1" t="s">
        <v>1</v>
      </c>
      <c r="C2" s="1" t="s">
        <v>2</v>
      </c>
      <c r="D2" s="1" t="str">
        <f>A2&amp;" | "&amp;B2</f>
        <v>Rasuwa | Gosaikunda</v>
      </c>
      <c r="E2" s="3">
        <v>7788</v>
      </c>
      <c r="F2" s="3">
        <v>2389</v>
      </c>
      <c r="G2" s="3">
        <f>IF(OR(E2="",F2=""),"",E2-F2)</f>
        <v>5399</v>
      </c>
      <c r="H2" s="4">
        <f t="shared" ref="H2:H16" si="0">IF(OR(E2="",F2=""),"",IFERROR(F2/E2,""))</f>
        <v>0.30675398048279406</v>
      </c>
      <c r="I2" s="2" t="str">
        <f>IF(OR(E2="",F2=""),"Enter data",IF(OR(E2&lt;0,F2&lt;0),"Check: negative",IF(F2&gt;E2,"Check: affected &gt; total","Ready")))</f>
        <v>Ready</v>
      </c>
    </row>
    <row r="3" spans="1:9" x14ac:dyDescent="0.25">
      <c r="A3" s="1" t="s">
        <v>0</v>
      </c>
      <c r="B3" s="1" t="s">
        <v>3</v>
      </c>
      <c r="C3" s="1" t="s">
        <v>2</v>
      </c>
      <c r="D3" s="1" t="str">
        <f t="shared" ref="D3:D16" si="1">A3&amp;" | "&amp;B3</f>
        <v>Rasuwa | Kalika</v>
      </c>
      <c r="E3" s="3">
        <v>10115</v>
      </c>
      <c r="F3" s="3">
        <v>61</v>
      </c>
      <c r="G3" s="3">
        <f t="shared" ref="G3:G16" si="2">IF(OR(E3="",F3=""),"",E3-F3)</f>
        <v>10054</v>
      </c>
      <c r="H3" s="4">
        <f t="shared" si="0"/>
        <v>6.0306475531389028E-3</v>
      </c>
      <c r="I3" s="2" t="str">
        <f t="shared" ref="I3:I16" si="3">IF(OR(E3="",F3=""),"Enter data",IF(OR(E3&lt;0,F3&lt;0),"Check: negative",IF(F3&gt;E3,"Check: affected &gt; total","Ready")))</f>
        <v>Ready</v>
      </c>
    </row>
    <row r="4" spans="1:9" x14ac:dyDescent="0.25">
      <c r="A4" s="1" t="s">
        <v>0</v>
      </c>
      <c r="B4" s="1" t="s">
        <v>4</v>
      </c>
      <c r="C4" s="1" t="s">
        <v>2</v>
      </c>
      <c r="D4" s="1" t="str">
        <f t="shared" si="1"/>
        <v>Rasuwa | Aama chhodingmo</v>
      </c>
      <c r="E4" s="3">
        <v>6673</v>
      </c>
      <c r="F4" s="3">
        <v>546</v>
      </c>
      <c r="G4" s="3">
        <f t="shared" si="2"/>
        <v>6127</v>
      </c>
      <c r="H4" s="4">
        <f t="shared" si="0"/>
        <v>8.1822268844597631E-2</v>
      </c>
      <c r="I4" s="2" t="str">
        <f t="shared" si="3"/>
        <v>Ready</v>
      </c>
    </row>
    <row r="5" spans="1:9" x14ac:dyDescent="0.25">
      <c r="A5" s="1" t="s">
        <v>0</v>
      </c>
      <c r="B5" s="1" t="s">
        <v>5</v>
      </c>
      <c r="C5" s="1" t="s">
        <v>2</v>
      </c>
      <c r="D5" s="1" t="str">
        <f t="shared" si="1"/>
        <v>Rasuwa | Uttargaya</v>
      </c>
      <c r="E5" s="3">
        <v>8555</v>
      </c>
      <c r="F5" s="3">
        <v>1534</v>
      </c>
      <c r="G5" s="3">
        <f t="shared" si="2"/>
        <v>7021</v>
      </c>
      <c r="H5" s="4">
        <f t="shared" si="0"/>
        <v>0.1793103448275862</v>
      </c>
      <c r="I5" s="2" t="str">
        <f t="shared" si="3"/>
        <v>Ready</v>
      </c>
    </row>
    <row r="6" spans="1:9" x14ac:dyDescent="0.25">
      <c r="A6" s="1" t="s">
        <v>6</v>
      </c>
      <c r="B6" s="1" t="s">
        <v>7</v>
      </c>
      <c r="C6" s="1" t="s">
        <v>8</v>
      </c>
      <c r="D6" s="1" t="str">
        <f t="shared" si="1"/>
        <v>Nuwakot | Belkotgadhi</v>
      </c>
      <c r="E6" s="3">
        <v>35224</v>
      </c>
      <c r="F6" s="3">
        <v>5832</v>
      </c>
      <c r="G6" s="3">
        <f t="shared" si="2"/>
        <v>29392</v>
      </c>
      <c r="H6" s="4">
        <f t="shared" si="0"/>
        <v>0.16556893027481262</v>
      </c>
      <c r="I6" s="2" t="str">
        <f t="shared" si="3"/>
        <v>Ready</v>
      </c>
    </row>
    <row r="7" spans="1:9" x14ac:dyDescent="0.25">
      <c r="A7" s="1" t="s">
        <v>6</v>
      </c>
      <c r="B7" s="1" t="s">
        <v>9</v>
      </c>
      <c r="C7" s="1" t="s">
        <v>8</v>
      </c>
      <c r="D7" s="1" t="str">
        <f t="shared" si="1"/>
        <v>Nuwakot | Bidur</v>
      </c>
      <c r="E7" s="3">
        <v>59227</v>
      </c>
      <c r="F7" s="3">
        <v>25354</v>
      </c>
      <c r="G7" s="3">
        <f t="shared" si="2"/>
        <v>33873</v>
      </c>
      <c r="H7" s="4">
        <f t="shared" si="0"/>
        <v>0.42808178702281052</v>
      </c>
      <c r="I7" s="2" t="str">
        <f t="shared" si="3"/>
        <v>Ready</v>
      </c>
    </row>
    <row r="8" spans="1:9" x14ac:dyDescent="0.25">
      <c r="A8" s="1" t="s">
        <v>6</v>
      </c>
      <c r="B8" s="1" t="s">
        <v>10</v>
      </c>
      <c r="C8" s="1" t="s">
        <v>2</v>
      </c>
      <c r="D8" s="1" t="str">
        <f t="shared" si="1"/>
        <v>Nuwakot | Kispang</v>
      </c>
      <c r="E8" s="3">
        <v>14235</v>
      </c>
      <c r="F8" s="3">
        <v>1701</v>
      </c>
      <c r="G8" s="3">
        <f t="shared" si="2"/>
        <v>12534</v>
      </c>
      <c r="H8" s="4">
        <f t="shared" si="0"/>
        <v>0.11949420442571128</v>
      </c>
      <c r="I8" s="2" t="str">
        <f t="shared" si="3"/>
        <v>Ready</v>
      </c>
    </row>
    <row r="9" spans="1:9" x14ac:dyDescent="0.25">
      <c r="A9" s="1" t="s">
        <v>6</v>
      </c>
      <c r="B9" s="1" t="s">
        <v>11</v>
      </c>
      <c r="C9" s="1" t="s">
        <v>2</v>
      </c>
      <c r="D9" s="1" t="str">
        <f t="shared" si="1"/>
        <v>Nuwakot | Tarakeshwor</v>
      </c>
      <c r="E9" s="3">
        <v>14184</v>
      </c>
      <c r="F9" s="3">
        <v>1731</v>
      </c>
      <c r="G9" s="3">
        <f t="shared" si="2"/>
        <v>12453</v>
      </c>
      <c r="H9" s="4">
        <f t="shared" si="0"/>
        <v>0.12203891708967851</v>
      </c>
      <c r="I9" s="2" t="str">
        <f t="shared" si="3"/>
        <v>Ready</v>
      </c>
    </row>
    <row r="10" spans="1:9" x14ac:dyDescent="0.25">
      <c r="A10" s="1" t="s">
        <v>12</v>
      </c>
      <c r="B10" s="1" t="s">
        <v>13</v>
      </c>
      <c r="C10" s="1" t="s">
        <v>2</v>
      </c>
      <c r="D10" s="1" t="str">
        <f t="shared" si="1"/>
        <v>Dhading | Benighat Rorang</v>
      </c>
      <c r="E10" s="3">
        <v>33854</v>
      </c>
      <c r="F10" s="3">
        <v>11313</v>
      </c>
      <c r="G10" s="3">
        <f t="shared" si="2"/>
        <v>22541</v>
      </c>
      <c r="H10" s="4">
        <f t="shared" si="0"/>
        <v>0.33417026053051341</v>
      </c>
      <c r="I10" s="2" t="str">
        <f t="shared" si="3"/>
        <v>Ready</v>
      </c>
    </row>
    <row r="11" spans="1:9" x14ac:dyDescent="0.25">
      <c r="A11" s="1" t="s">
        <v>12</v>
      </c>
      <c r="B11" s="1" t="s">
        <v>14</v>
      </c>
      <c r="C11" s="1" t="s">
        <v>2</v>
      </c>
      <c r="D11" s="1" t="str">
        <f t="shared" si="1"/>
        <v>Dhading | Gajuri</v>
      </c>
      <c r="E11" s="3">
        <v>28634</v>
      </c>
      <c r="F11" s="3">
        <v>7991</v>
      </c>
      <c r="G11" s="3">
        <f t="shared" si="2"/>
        <v>20643</v>
      </c>
      <c r="H11" s="4">
        <f t="shared" si="0"/>
        <v>0.27907382831598798</v>
      </c>
      <c r="I11" s="2" t="str">
        <f t="shared" si="3"/>
        <v>Ready</v>
      </c>
    </row>
    <row r="12" spans="1:9" x14ac:dyDescent="0.25">
      <c r="A12" s="1" t="s">
        <v>12</v>
      </c>
      <c r="B12" s="1" t="s">
        <v>15</v>
      </c>
      <c r="C12" s="1" t="s">
        <v>2</v>
      </c>
      <c r="D12" s="1" t="str">
        <f t="shared" si="1"/>
        <v>Dhading | Galchhi</v>
      </c>
      <c r="E12" s="3">
        <v>23733</v>
      </c>
      <c r="F12" s="3">
        <v>6537</v>
      </c>
      <c r="G12" s="3">
        <f t="shared" si="2"/>
        <v>17196</v>
      </c>
      <c r="H12" s="4">
        <f t="shared" si="0"/>
        <v>0.27543926178738465</v>
      </c>
      <c r="I12" s="2" t="str">
        <f t="shared" si="3"/>
        <v>Ready</v>
      </c>
    </row>
    <row r="13" spans="1:9" x14ac:dyDescent="0.25">
      <c r="A13" s="1" t="s">
        <v>12</v>
      </c>
      <c r="B13" s="1" t="s">
        <v>16</v>
      </c>
      <c r="C13" s="1" t="s">
        <v>2</v>
      </c>
      <c r="D13" s="1" t="str">
        <f t="shared" si="1"/>
        <v>Dhading | Siddhalek</v>
      </c>
      <c r="E13" s="3">
        <v>22214</v>
      </c>
      <c r="F13" s="3">
        <v>3352</v>
      </c>
      <c r="G13" s="3">
        <f t="shared" si="2"/>
        <v>18862</v>
      </c>
      <c r="H13" s="4">
        <f t="shared" si="0"/>
        <v>0.15089583145763932</v>
      </c>
      <c r="I13" s="2" t="str">
        <f t="shared" si="3"/>
        <v>Ready</v>
      </c>
    </row>
    <row r="14" spans="1:9" x14ac:dyDescent="0.25">
      <c r="A14" s="1" t="s">
        <v>17</v>
      </c>
      <c r="B14" s="1" t="s">
        <v>18</v>
      </c>
      <c r="C14" s="1" t="s">
        <v>2</v>
      </c>
      <c r="D14" s="1" t="str">
        <f t="shared" si="1"/>
        <v>Gorkha | Gandaki</v>
      </c>
      <c r="E14" s="3">
        <v>21394</v>
      </c>
      <c r="F14" s="3">
        <v>2686</v>
      </c>
      <c r="G14" s="3">
        <f t="shared" si="2"/>
        <v>18708</v>
      </c>
      <c r="H14" s="4">
        <f t="shared" si="0"/>
        <v>0.12554921940731045</v>
      </c>
      <c r="I14" s="2" t="str">
        <f t="shared" si="3"/>
        <v>Ready</v>
      </c>
    </row>
    <row r="15" spans="1:9" x14ac:dyDescent="0.25">
      <c r="A15" s="1" t="s">
        <v>19</v>
      </c>
      <c r="B15" s="1" t="s">
        <v>20</v>
      </c>
      <c r="C15" s="1" t="s">
        <v>2</v>
      </c>
      <c r="D15" s="1" t="str">
        <f t="shared" si="1"/>
        <v>Tanahu | Aanbu Khaireni</v>
      </c>
      <c r="E15" s="3">
        <v>22252</v>
      </c>
      <c r="F15" s="3">
        <v>1635</v>
      </c>
      <c r="G15" s="3">
        <f t="shared" si="2"/>
        <v>20617</v>
      </c>
      <c r="H15" s="4">
        <f t="shared" si="0"/>
        <v>7.3476541434477793E-2</v>
      </c>
      <c r="I15" s="2" t="str">
        <f t="shared" si="3"/>
        <v>Ready</v>
      </c>
    </row>
    <row r="16" spans="1:9" x14ac:dyDescent="0.25">
      <c r="A16" s="1" t="s">
        <v>19</v>
      </c>
      <c r="B16" s="1" t="s">
        <v>21</v>
      </c>
      <c r="C16" s="1" t="s">
        <v>2</v>
      </c>
      <c r="D16" s="1" t="str">
        <f t="shared" si="1"/>
        <v>Tanahu | Devghat</v>
      </c>
      <c r="E16" s="3">
        <v>14584</v>
      </c>
      <c r="F16" s="3">
        <v>4162</v>
      </c>
      <c r="G16" s="3">
        <f t="shared" si="2"/>
        <v>10422</v>
      </c>
      <c r="H16" s="4">
        <f t="shared" si="0"/>
        <v>0.28538123971475587</v>
      </c>
      <c r="I16" s="2" t="str">
        <f t="shared" si="3"/>
        <v>Ready</v>
      </c>
    </row>
  </sheetData>
  <dataValidations count="2">
    <dataValidation type="custom" allowBlank="1" showInputMessage="1" showErrorMessage="1" sqref="E2:E16" xr:uid="{17C3FC8C-A0D8-4013-A89D-9FD2AF04F897}">
      <formula1>OR(E2="",AND(ISNUMBER(E2),E2&gt;=0))</formula1>
    </dataValidation>
    <dataValidation type="custom" allowBlank="1" showInputMessage="1" showErrorMessage="1" sqref="F2:F16" xr:uid="{9FE085B6-BC29-4BA8-A59E-C301DFE6FA3E}">
      <formula1>OR(F2="",AND(ISNUMBER(F2),F2&gt;=0,F2&lt;=$E2))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A810-8AA3-4795-A180-234AD78AE93C}">
  <dimension ref="A1:G57"/>
  <sheetViews>
    <sheetView workbookViewId="0">
      <selection activeCell="L13" sqref="L13"/>
    </sheetView>
  </sheetViews>
  <sheetFormatPr defaultRowHeight="15" x14ac:dyDescent="0.25"/>
  <cols>
    <col min="1" max="1" width="8.140625" customWidth="1"/>
    <col min="2" max="2" width="22.7109375" customWidth="1"/>
    <col min="3" max="3" width="26.42578125" customWidth="1"/>
    <col min="4" max="4" width="15.42578125" customWidth="1"/>
    <col min="5" max="5" width="16.42578125" customWidth="1"/>
    <col min="6" max="7" width="33.5703125" customWidth="1"/>
  </cols>
  <sheetData>
    <row r="1" spans="1:7" ht="30" customHeight="1" x14ac:dyDescent="0.4">
      <c r="A1" s="15" t="s">
        <v>56</v>
      </c>
      <c r="B1" s="15"/>
      <c r="C1" s="15"/>
      <c r="D1" s="15"/>
      <c r="E1" s="15"/>
      <c r="F1" s="15"/>
      <c r="G1" s="15"/>
    </row>
    <row r="2" spans="1:7" ht="32.1" customHeight="1" x14ac:dyDescent="0.25">
      <c r="A2" s="17" t="s">
        <v>57</v>
      </c>
      <c r="B2" s="17"/>
      <c r="C2" s="17"/>
      <c r="D2" s="17"/>
      <c r="E2" s="17"/>
      <c r="F2" s="17"/>
      <c r="G2" s="17"/>
    </row>
    <row r="4" spans="1:7" x14ac:dyDescent="0.25">
      <c r="A4" s="9" t="s">
        <v>58</v>
      </c>
      <c r="B4" s="9" t="s">
        <v>59</v>
      </c>
      <c r="C4" s="9" t="s">
        <v>60</v>
      </c>
      <c r="D4" s="9" t="s">
        <v>61</v>
      </c>
      <c r="E4" s="9" t="s">
        <v>62</v>
      </c>
      <c r="F4" s="9" t="s">
        <v>63</v>
      </c>
      <c r="G4" s="9" t="s">
        <v>64</v>
      </c>
    </row>
    <row r="5" spans="1:7" x14ac:dyDescent="0.25">
      <c r="A5" s="14">
        <v>1</v>
      </c>
      <c r="B5" t="s">
        <v>65</v>
      </c>
      <c r="C5" t="s">
        <v>22</v>
      </c>
      <c r="D5" s="11" t="s">
        <v>66</v>
      </c>
      <c r="E5" s="11" t="s">
        <v>37</v>
      </c>
      <c r="F5" s="10" t="s">
        <v>67</v>
      </c>
      <c r="G5" s="10" t="s">
        <v>38</v>
      </c>
    </row>
    <row r="6" spans="1:7" ht="30" x14ac:dyDescent="0.25">
      <c r="A6" s="14">
        <v>1</v>
      </c>
      <c r="B6" t="s">
        <v>65</v>
      </c>
      <c r="C6" t="s">
        <v>23</v>
      </c>
      <c r="D6" s="11" t="s">
        <v>66</v>
      </c>
      <c r="E6" s="11" t="s">
        <v>37</v>
      </c>
      <c r="F6" s="10" t="s">
        <v>68</v>
      </c>
      <c r="G6" s="10" t="s">
        <v>69</v>
      </c>
    </row>
    <row r="7" spans="1:7" x14ac:dyDescent="0.25">
      <c r="A7" s="14">
        <v>1</v>
      </c>
      <c r="B7" t="s">
        <v>65</v>
      </c>
      <c r="C7" t="s">
        <v>70</v>
      </c>
      <c r="D7" s="11" t="s">
        <v>66</v>
      </c>
      <c r="E7" s="11" t="s">
        <v>37</v>
      </c>
      <c r="F7" s="10" t="s">
        <v>71</v>
      </c>
      <c r="G7" s="10" t="s">
        <v>72</v>
      </c>
    </row>
    <row r="8" spans="1:7" x14ac:dyDescent="0.25">
      <c r="A8" s="14">
        <v>1</v>
      </c>
      <c r="B8" t="s">
        <v>65</v>
      </c>
      <c r="C8" t="s">
        <v>73</v>
      </c>
      <c r="D8" s="11" t="s">
        <v>74</v>
      </c>
      <c r="E8" s="11" t="s">
        <v>37</v>
      </c>
      <c r="F8" s="10" t="s">
        <v>75</v>
      </c>
      <c r="G8" s="10" t="s">
        <v>76</v>
      </c>
    </row>
    <row r="9" spans="1:7" x14ac:dyDescent="0.25">
      <c r="A9" s="14">
        <v>2</v>
      </c>
      <c r="B9" t="s">
        <v>77</v>
      </c>
      <c r="C9" t="s">
        <v>26</v>
      </c>
      <c r="D9" s="11" t="s">
        <v>74</v>
      </c>
      <c r="E9" s="11" t="s">
        <v>37</v>
      </c>
      <c r="F9" s="10" t="s">
        <v>78</v>
      </c>
      <c r="G9" s="10" t="s">
        <v>79</v>
      </c>
    </row>
    <row r="10" spans="1:7" ht="30" x14ac:dyDescent="0.25">
      <c r="A10" s="14">
        <v>2</v>
      </c>
      <c r="B10" t="s">
        <v>77</v>
      </c>
      <c r="C10" t="s">
        <v>80</v>
      </c>
      <c r="D10" s="11" t="s">
        <v>74</v>
      </c>
      <c r="E10" s="11" t="s">
        <v>37</v>
      </c>
      <c r="F10" s="10" t="s">
        <v>81</v>
      </c>
      <c r="G10" s="10" t="s">
        <v>82</v>
      </c>
    </row>
    <row r="11" spans="1:7" x14ac:dyDescent="0.25">
      <c r="A11" s="14">
        <v>2</v>
      </c>
      <c r="B11" t="s">
        <v>77</v>
      </c>
      <c r="C11" t="s">
        <v>28</v>
      </c>
      <c r="D11" s="11" t="s">
        <v>74</v>
      </c>
      <c r="E11" s="11" t="s">
        <v>41</v>
      </c>
      <c r="F11" s="10" t="s">
        <v>83</v>
      </c>
      <c r="G11" s="10" t="s">
        <v>84</v>
      </c>
    </row>
    <row r="12" spans="1:7" x14ac:dyDescent="0.25">
      <c r="A12" s="14">
        <v>2</v>
      </c>
      <c r="B12" t="s">
        <v>77</v>
      </c>
      <c r="C12" t="s">
        <v>29</v>
      </c>
      <c r="D12" s="11" t="s">
        <v>85</v>
      </c>
      <c r="E12" s="11" t="s">
        <v>41</v>
      </c>
      <c r="F12" s="10" t="s">
        <v>86</v>
      </c>
      <c r="G12" s="10" t="s">
        <v>87</v>
      </c>
    </row>
    <row r="13" spans="1:7" x14ac:dyDescent="0.25">
      <c r="A13" s="14">
        <v>2</v>
      </c>
      <c r="B13" t="s">
        <v>77</v>
      </c>
      <c r="C13" t="s">
        <v>88</v>
      </c>
      <c r="D13" s="11" t="s">
        <v>74</v>
      </c>
      <c r="E13" s="11" t="s">
        <v>37</v>
      </c>
      <c r="F13" s="10" t="s">
        <v>89</v>
      </c>
      <c r="G13" s="10" t="s">
        <v>90</v>
      </c>
    </row>
    <row r="14" spans="1:7" x14ac:dyDescent="0.25">
      <c r="A14" s="14">
        <v>2</v>
      </c>
      <c r="B14" t="s">
        <v>77</v>
      </c>
      <c r="C14" t="s">
        <v>91</v>
      </c>
      <c r="D14" s="11" t="s">
        <v>74</v>
      </c>
      <c r="E14" s="11" t="s">
        <v>37</v>
      </c>
      <c r="F14" s="10" t="s">
        <v>92</v>
      </c>
      <c r="G14" s="10" t="s">
        <v>93</v>
      </c>
    </row>
    <row r="15" spans="1:7" ht="30" x14ac:dyDescent="0.25">
      <c r="A15" s="14">
        <v>3</v>
      </c>
      <c r="B15" t="s">
        <v>94</v>
      </c>
      <c r="C15" t="s">
        <v>95</v>
      </c>
      <c r="D15" s="11" t="s">
        <v>96</v>
      </c>
      <c r="E15" s="11" t="s">
        <v>37</v>
      </c>
      <c r="F15" s="10" t="s">
        <v>97</v>
      </c>
      <c r="G15" s="10" t="s">
        <v>98</v>
      </c>
    </row>
    <row r="16" spans="1:7" x14ac:dyDescent="0.25">
      <c r="A16" s="14">
        <v>3</v>
      </c>
      <c r="B16" t="s">
        <v>94</v>
      </c>
      <c r="C16" t="s">
        <v>99</v>
      </c>
      <c r="D16" s="11" t="s">
        <v>100</v>
      </c>
      <c r="E16" s="11" t="s">
        <v>101</v>
      </c>
      <c r="F16" s="10" t="s">
        <v>102</v>
      </c>
      <c r="G16" s="10" t="s">
        <v>103</v>
      </c>
    </row>
    <row r="17" spans="1:7" ht="30" x14ac:dyDescent="0.25">
      <c r="A17" s="14">
        <v>3</v>
      </c>
      <c r="B17" t="s">
        <v>94</v>
      </c>
      <c r="C17" t="s">
        <v>104</v>
      </c>
      <c r="D17" s="11" t="s">
        <v>96</v>
      </c>
      <c r="E17" s="11" t="s">
        <v>37</v>
      </c>
      <c r="F17" s="10" t="s">
        <v>105</v>
      </c>
      <c r="G17" s="10" t="s">
        <v>106</v>
      </c>
    </row>
    <row r="18" spans="1:7" x14ac:dyDescent="0.25">
      <c r="A18" s="14">
        <v>3</v>
      </c>
      <c r="B18" t="s">
        <v>94</v>
      </c>
      <c r="C18" t="s">
        <v>107</v>
      </c>
      <c r="D18" s="11" t="s">
        <v>100</v>
      </c>
      <c r="E18" s="11" t="s">
        <v>101</v>
      </c>
      <c r="F18" s="10" t="s">
        <v>108</v>
      </c>
      <c r="G18" s="10" t="s">
        <v>109</v>
      </c>
    </row>
    <row r="19" spans="1:7" x14ac:dyDescent="0.25">
      <c r="A19" s="14">
        <v>3</v>
      </c>
      <c r="B19" t="s">
        <v>94</v>
      </c>
      <c r="C19" t="s">
        <v>110</v>
      </c>
      <c r="D19" s="11" t="s">
        <v>96</v>
      </c>
      <c r="E19" s="11" t="s">
        <v>37</v>
      </c>
      <c r="F19" s="10" t="s">
        <v>111</v>
      </c>
      <c r="G19" s="10" t="s">
        <v>112</v>
      </c>
    </row>
    <row r="20" spans="1:7" x14ac:dyDescent="0.25">
      <c r="A20" s="14">
        <v>4</v>
      </c>
      <c r="B20" t="s">
        <v>113</v>
      </c>
      <c r="C20" t="s">
        <v>114</v>
      </c>
      <c r="D20" s="11" t="s">
        <v>66</v>
      </c>
      <c r="E20" s="11" t="s">
        <v>37</v>
      </c>
      <c r="F20" s="10" t="s">
        <v>115</v>
      </c>
      <c r="G20" s="10" t="s">
        <v>116</v>
      </c>
    </row>
    <row r="21" spans="1:7" x14ac:dyDescent="0.25">
      <c r="A21" s="14">
        <v>4</v>
      </c>
      <c r="B21" t="s">
        <v>113</v>
      </c>
      <c r="C21" t="s">
        <v>117</v>
      </c>
      <c r="D21" s="11" t="s">
        <v>96</v>
      </c>
      <c r="E21" s="11" t="s">
        <v>37</v>
      </c>
      <c r="F21" s="10" t="s">
        <v>118</v>
      </c>
      <c r="G21" s="10" t="s">
        <v>119</v>
      </c>
    </row>
    <row r="22" spans="1:7" x14ac:dyDescent="0.25">
      <c r="A22" s="14">
        <v>4</v>
      </c>
      <c r="B22" t="s">
        <v>113</v>
      </c>
      <c r="C22" t="s">
        <v>120</v>
      </c>
      <c r="D22" s="11" t="s">
        <v>96</v>
      </c>
      <c r="E22" s="11" t="s">
        <v>37</v>
      </c>
      <c r="F22" s="10" t="s">
        <v>121</v>
      </c>
      <c r="G22" s="10" t="s">
        <v>122</v>
      </c>
    </row>
    <row r="23" spans="1:7" x14ac:dyDescent="0.25">
      <c r="A23" s="14">
        <v>4</v>
      </c>
      <c r="B23" t="s">
        <v>113</v>
      </c>
      <c r="C23" t="s">
        <v>123</v>
      </c>
      <c r="D23" s="11" t="s">
        <v>96</v>
      </c>
      <c r="E23" s="11" t="s">
        <v>37</v>
      </c>
      <c r="F23" s="10" t="s">
        <v>121</v>
      </c>
      <c r="G23" s="10" t="s">
        <v>124</v>
      </c>
    </row>
    <row r="24" spans="1:7" x14ac:dyDescent="0.25">
      <c r="A24" s="14">
        <v>4</v>
      </c>
      <c r="B24" t="s">
        <v>113</v>
      </c>
      <c r="C24" t="s">
        <v>125</v>
      </c>
      <c r="D24" s="11" t="s">
        <v>96</v>
      </c>
      <c r="E24" s="11" t="s">
        <v>37</v>
      </c>
      <c r="F24" s="10" t="s">
        <v>121</v>
      </c>
      <c r="G24" s="10" t="s">
        <v>126</v>
      </c>
    </row>
    <row r="25" spans="1:7" ht="30" x14ac:dyDescent="0.25">
      <c r="A25" s="14">
        <v>4</v>
      </c>
      <c r="B25" t="s">
        <v>113</v>
      </c>
      <c r="C25" t="s">
        <v>127</v>
      </c>
      <c r="D25" s="11" t="s">
        <v>96</v>
      </c>
      <c r="E25" s="11" t="s">
        <v>37</v>
      </c>
      <c r="F25" s="10" t="s">
        <v>128</v>
      </c>
      <c r="G25" s="10" t="s">
        <v>119</v>
      </c>
    </row>
    <row r="26" spans="1:7" x14ac:dyDescent="0.25">
      <c r="A26" s="14">
        <v>5</v>
      </c>
      <c r="B26" t="s">
        <v>129</v>
      </c>
      <c r="C26" t="s">
        <v>130</v>
      </c>
      <c r="D26" s="11" t="s">
        <v>66</v>
      </c>
      <c r="E26" s="11" t="s">
        <v>37</v>
      </c>
      <c r="F26" s="10" t="s">
        <v>131</v>
      </c>
      <c r="G26" s="10" t="s">
        <v>132</v>
      </c>
    </row>
    <row r="27" spans="1:7" x14ac:dyDescent="0.25">
      <c r="A27" s="14">
        <v>5</v>
      </c>
      <c r="B27" t="s">
        <v>129</v>
      </c>
      <c r="C27" t="s">
        <v>133</v>
      </c>
      <c r="D27" s="11" t="s">
        <v>96</v>
      </c>
      <c r="E27" s="11" t="s">
        <v>37</v>
      </c>
      <c r="F27" s="10" t="s">
        <v>121</v>
      </c>
      <c r="G27" s="10" t="s">
        <v>134</v>
      </c>
    </row>
    <row r="28" spans="1:7" ht="30" x14ac:dyDescent="0.25">
      <c r="A28" s="14">
        <v>5</v>
      </c>
      <c r="B28" t="s">
        <v>129</v>
      </c>
      <c r="C28" t="s">
        <v>135</v>
      </c>
      <c r="D28" s="11" t="s">
        <v>136</v>
      </c>
      <c r="E28" s="11" t="s">
        <v>37</v>
      </c>
      <c r="F28" s="10" t="s">
        <v>137</v>
      </c>
      <c r="G28" s="10" t="s">
        <v>138</v>
      </c>
    </row>
    <row r="29" spans="1:7" x14ac:dyDescent="0.25">
      <c r="A29" s="14">
        <v>5</v>
      </c>
      <c r="B29" t="s">
        <v>129</v>
      </c>
      <c r="C29" t="s">
        <v>139</v>
      </c>
      <c r="D29" s="11" t="s">
        <v>74</v>
      </c>
      <c r="E29" s="11" t="s">
        <v>37</v>
      </c>
      <c r="F29" s="10" t="s">
        <v>140</v>
      </c>
      <c r="G29" s="10" t="s">
        <v>141</v>
      </c>
    </row>
    <row r="30" spans="1:7" x14ac:dyDescent="0.25">
      <c r="A30" s="14">
        <v>5</v>
      </c>
      <c r="B30" t="s">
        <v>129</v>
      </c>
      <c r="C30" t="s">
        <v>142</v>
      </c>
      <c r="D30" s="11" t="s">
        <v>74</v>
      </c>
      <c r="E30" s="11" t="s">
        <v>37</v>
      </c>
      <c r="F30" s="10" t="s">
        <v>143</v>
      </c>
      <c r="G30" s="10" t="s">
        <v>141</v>
      </c>
    </row>
    <row r="31" spans="1:7" x14ac:dyDescent="0.25">
      <c r="A31" s="14">
        <v>5</v>
      </c>
      <c r="B31" t="s">
        <v>129</v>
      </c>
      <c r="C31" t="s">
        <v>144</v>
      </c>
      <c r="D31" s="11" t="s">
        <v>96</v>
      </c>
      <c r="E31" s="11" t="s">
        <v>37</v>
      </c>
      <c r="F31" s="10" t="s">
        <v>145</v>
      </c>
      <c r="G31" s="10" t="s">
        <v>146</v>
      </c>
    </row>
    <row r="32" spans="1:7" x14ac:dyDescent="0.25">
      <c r="A32" s="14">
        <v>6</v>
      </c>
      <c r="B32" t="s">
        <v>147</v>
      </c>
      <c r="C32" t="s">
        <v>148</v>
      </c>
      <c r="D32" s="11" t="s">
        <v>66</v>
      </c>
      <c r="E32" s="11" t="s">
        <v>37</v>
      </c>
      <c r="F32" s="10" t="s">
        <v>149</v>
      </c>
      <c r="G32" s="10" t="s">
        <v>150</v>
      </c>
    </row>
    <row r="33" spans="1:7" x14ac:dyDescent="0.25">
      <c r="A33" s="14">
        <v>6</v>
      </c>
      <c r="B33" t="s">
        <v>147</v>
      </c>
      <c r="C33" t="s">
        <v>151</v>
      </c>
      <c r="D33" s="11" t="s">
        <v>66</v>
      </c>
      <c r="E33" s="11" t="s">
        <v>37</v>
      </c>
      <c r="F33" s="10" t="s">
        <v>152</v>
      </c>
      <c r="G33" s="10" t="s">
        <v>153</v>
      </c>
    </row>
    <row r="34" spans="1:7" x14ac:dyDescent="0.25">
      <c r="A34" s="14">
        <v>6</v>
      </c>
      <c r="B34" t="s">
        <v>147</v>
      </c>
      <c r="C34" t="s">
        <v>154</v>
      </c>
      <c r="D34" s="11" t="s">
        <v>66</v>
      </c>
      <c r="E34" s="11" t="s">
        <v>37</v>
      </c>
      <c r="F34" s="10" t="s">
        <v>155</v>
      </c>
      <c r="G34" s="10" t="s">
        <v>156</v>
      </c>
    </row>
    <row r="35" spans="1:7" x14ac:dyDescent="0.25">
      <c r="A35" s="14">
        <v>6</v>
      </c>
      <c r="B35" t="s">
        <v>147</v>
      </c>
      <c r="C35" t="s">
        <v>157</v>
      </c>
      <c r="D35" s="11" t="s">
        <v>66</v>
      </c>
      <c r="E35" s="11" t="s">
        <v>37</v>
      </c>
      <c r="F35" s="10" t="s">
        <v>158</v>
      </c>
      <c r="G35" s="10" t="s">
        <v>159</v>
      </c>
    </row>
    <row r="36" spans="1:7" x14ac:dyDescent="0.25">
      <c r="A36" s="14">
        <v>7</v>
      </c>
      <c r="B36" t="s">
        <v>160</v>
      </c>
      <c r="C36" t="s">
        <v>161</v>
      </c>
      <c r="D36" s="11" t="s">
        <v>162</v>
      </c>
      <c r="E36" s="11" t="s">
        <v>37</v>
      </c>
      <c r="F36" s="10" t="s">
        <v>163</v>
      </c>
      <c r="G36" s="10" t="s">
        <v>164</v>
      </c>
    </row>
    <row r="37" spans="1:7" x14ac:dyDescent="0.25">
      <c r="A37" s="14">
        <v>7</v>
      </c>
      <c r="B37" t="s">
        <v>160</v>
      </c>
      <c r="C37" t="s">
        <v>165</v>
      </c>
      <c r="D37" s="11" t="s">
        <v>162</v>
      </c>
      <c r="E37" s="11" t="s">
        <v>37</v>
      </c>
      <c r="F37" s="10" t="s">
        <v>163</v>
      </c>
      <c r="G37" s="10" t="s">
        <v>166</v>
      </c>
    </row>
    <row r="38" spans="1:7" x14ac:dyDescent="0.25">
      <c r="A38" s="14">
        <v>7</v>
      </c>
      <c r="B38" t="s">
        <v>160</v>
      </c>
      <c r="C38" t="s">
        <v>167</v>
      </c>
      <c r="D38" s="11" t="s">
        <v>162</v>
      </c>
      <c r="E38" s="11" t="s">
        <v>37</v>
      </c>
      <c r="F38" s="10" t="s">
        <v>163</v>
      </c>
      <c r="G38" s="10" t="s">
        <v>168</v>
      </c>
    </row>
    <row r="39" spans="1:7" x14ac:dyDescent="0.25">
      <c r="A39" s="14">
        <v>7</v>
      </c>
      <c r="B39" t="s">
        <v>160</v>
      </c>
      <c r="C39" t="s">
        <v>169</v>
      </c>
      <c r="D39" s="11" t="s">
        <v>162</v>
      </c>
      <c r="E39" s="11" t="s">
        <v>37</v>
      </c>
      <c r="F39" s="10" t="s">
        <v>170</v>
      </c>
      <c r="G39" s="10" t="s">
        <v>171</v>
      </c>
    </row>
    <row r="40" spans="1:7" x14ac:dyDescent="0.25">
      <c r="A40" s="14">
        <v>7</v>
      </c>
      <c r="B40" t="s">
        <v>160</v>
      </c>
      <c r="C40" t="s">
        <v>172</v>
      </c>
      <c r="D40" s="11" t="s">
        <v>162</v>
      </c>
      <c r="E40" s="11" t="s">
        <v>37</v>
      </c>
      <c r="F40" s="10" t="s">
        <v>173</v>
      </c>
      <c r="G40" s="10" t="s">
        <v>171</v>
      </c>
    </row>
    <row r="41" spans="1:7" x14ac:dyDescent="0.25">
      <c r="A41" s="14">
        <v>7</v>
      </c>
      <c r="B41" t="s">
        <v>160</v>
      </c>
      <c r="C41" t="s">
        <v>174</v>
      </c>
      <c r="D41" s="11" t="s">
        <v>162</v>
      </c>
      <c r="E41" s="11" t="s">
        <v>37</v>
      </c>
      <c r="F41" s="10" t="s">
        <v>175</v>
      </c>
      <c r="G41" s="10" t="s">
        <v>171</v>
      </c>
    </row>
    <row r="42" spans="1:7" ht="30" x14ac:dyDescent="0.25">
      <c r="A42" s="14">
        <v>7</v>
      </c>
      <c r="B42" t="s">
        <v>160</v>
      </c>
      <c r="C42" t="s">
        <v>176</v>
      </c>
      <c r="D42" s="11" t="s">
        <v>162</v>
      </c>
      <c r="E42" s="11" t="s">
        <v>177</v>
      </c>
      <c r="F42" s="10" t="s">
        <v>178</v>
      </c>
      <c r="G42" s="10" t="s">
        <v>179</v>
      </c>
    </row>
    <row r="43" spans="1:7" ht="30" x14ac:dyDescent="0.25">
      <c r="A43" s="14">
        <v>7</v>
      </c>
      <c r="B43" t="s">
        <v>160</v>
      </c>
      <c r="C43" t="s">
        <v>180</v>
      </c>
      <c r="D43" s="11" t="s">
        <v>96</v>
      </c>
      <c r="E43" s="11" t="s">
        <v>37</v>
      </c>
      <c r="F43" s="10" t="s">
        <v>181</v>
      </c>
      <c r="G43" s="10" t="s">
        <v>119</v>
      </c>
    </row>
    <row r="44" spans="1:7" x14ac:dyDescent="0.25">
      <c r="A44" s="14">
        <v>8</v>
      </c>
      <c r="B44" t="s">
        <v>182</v>
      </c>
      <c r="C44" t="s">
        <v>183</v>
      </c>
      <c r="D44" s="11" t="s">
        <v>100</v>
      </c>
      <c r="E44" s="11" t="s">
        <v>184</v>
      </c>
      <c r="F44" s="10" t="s">
        <v>185</v>
      </c>
      <c r="G44" s="10" t="s">
        <v>186</v>
      </c>
    </row>
    <row r="45" spans="1:7" x14ac:dyDescent="0.25">
      <c r="A45" s="14">
        <v>8</v>
      </c>
      <c r="B45" t="s">
        <v>182</v>
      </c>
      <c r="C45" t="s">
        <v>187</v>
      </c>
      <c r="D45" s="11" t="s">
        <v>100</v>
      </c>
      <c r="E45" s="11" t="s">
        <v>184</v>
      </c>
      <c r="F45" s="10" t="s">
        <v>185</v>
      </c>
      <c r="G45" s="10" t="s">
        <v>186</v>
      </c>
    </row>
    <row r="46" spans="1:7" x14ac:dyDescent="0.25">
      <c r="A46" s="14">
        <v>8</v>
      </c>
      <c r="B46" t="s">
        <v>182</v>
      </c>
      <c r="C46" t="s">
        <v>188</v>
      </c>
      <c r="D46" s="11" t="s">
        <v>100</v>
      </c>
      <c r="E46" s="11" t="s">
        <v>184</v>
      </c>
      <c r="F46" s="10" t="s">
        <v>185</v>
      </c>
      <c r="G46" s="10" t="s">
        <v>186</v>
      </c>
    </row>
    <row r="47" spans="1:7" x14ac:dyDescent="0.25">
      <c r="A47" s="14">
        <v>8</v>
      </c>
      <c r="B47" t="s">
        <v>182</v>
      </c>
      <c r="C47" t="s">
        <v>189</v>
      </c>
      <c r="D47" s="11" t="s">
        <v>100</v>
      </c>
      <c r="E47" s="11" t="s">
        <v>184</v>
      </c>
      <c r="F47" s="10" t="s">
        <v>185</v>
      </c>
      <c r="G47" s="10" t="s">
        <v>186</v>
      </c>
    </row>
    <row r="48" spans="1:7" x14ac:dyDescent="0.25">
      <c r="A48" s="14">
        <v>8</v>
      </c>
      <c r="B48" t="s">
        <v>182</v>
      </c>
      <c r="C48" t="s">
        <v>190</v>
      </c>
      <c r="D48" s="11" t="s">
        <v>100</v>
      </c>
      <c r="E48" s="11" t="s">
        <v>184</v>
      </c>
      <c r="F48" s="10" t="s">
        <v>185</v>
      </c>
      <c r="G48" s="10" t="s">
        <v>186</v>
      </c>
    </row>
    <row r="49" spans="1:7" x14ac:dyDescent="0.25">
      <c r="A49" s="14">
        <v>8</v>
      </c>
      <c r="B49" t="s">
        <v>182</v>
      </c>
      <c r="C49" t="s">
        <v>191</v>
      </c>
      <c r="D49" s="11" t="s">
        <v>100</v>
      </c>
      <c r="E49" s="11" t="s">
        <v>184</v>
      </c>
      <c r="F49" s="10" t="s">
        <v>185</v>
      </c>
      <c r="G49" s="10" t="s">
        <v>192</v>
      </c>
    </row>
    <row r="50" spans="1:7" x14ac:dyDescent="0.25">
      <c r="A50" s="14">
        <v>8</v>
      </c>
      <c r="B50" t="s">
        <v>182</v>
      </c>
      <c r="C50" t="s">
        <v>193</v>
      </c>
      <c r="D50" s="11" t="s">
        <v>100</v>
      </c>
      <c r="E50" s="11" t="s">
        <v>184</v>
      </c>
      <c r="F50" s="10" t="s">
        <v>185</v>
      </c>
      <c r="G50" s="10" t="s">
        <v>194</v>
      </c>
    </row>
    <row r="51" spans="1:7" x14ac:dyDescent="0.25">
      <c r="A51" s="14">
        <v>8</v>
      </c>
      <c r="B51" t="s">
        <v>182</v>
      </c>
      <c r="C51" t="s">
        <v>195</v>
      </c>
      <c r="D51" s="11" t="s">
        <v>100</v>
      </c>
      <c r="E51" s="11" t="s">
        <v>41</v>
      </c>
      <c r="F51" s="10" t="s">
        <v>196</v>
      </c>
      <c r="G51" s="10" t="s">
        <v>197</v>
      </c>
    </row>
    <row r="52" spans="1:7" x14ac:dyDescent="0.25">
      <c r="A52" s="14">
        <v>8</v>
      </c>
      <c r="B52" t="s">
        <v>182</v>
      </c>
      <c r="C52" t="s">
        <v>198</v>
      </c>
      <c r="D52" s="11" t="s">
        <v>96</v>
      </c>
      <c r="E52" s="11" t="s">
        <v>41</v>
      </c>
      <c r="F52" s="10" t="s">
        <v>199</v>
      </c>
      <c r="G52" s="10" t="s">
        <v>200</v>
      </c>
    </row>
    <row r="53" spans="1:7" ht="30" x14ac:dyDescent="0.25">
      <c r="A53" s="14">
        <v>9</v>
      </c>
      <c r="B53" t="s">
        <v>201</v>
      </c>
      <c r="C53" t="s">
        <v>30</v>
      </c>
      <c r="D53" s="11" t="s">
        <v>96</v>
      </c>
      <c r="E53" s="11" t="s">
        <v>202</v>
      </c>
      <c r="F53" s="10" t="s">
        <v>203</v>
      </c>
      <c r="G53" s="10" t="s">
        <v>204</v>
      </c>
    </row>
    <row r="54" spans="1:7" x14ac:dyDescent="0.25">
      <c r="A54" s="14">
        <v>9</v>
      </c>
      <c r="B54" t="s">
        <v>201</v>
      </c>
      <c r="C54" t="s">
        <v>205</v>
      </c>
      <c r="D54" s="11" t="s">
        <v>66</v>
      </c>
      <c r="E54" s="11" t="s">
        <v>37</v>
      </c>
      <c r="F54" s="10" t="s">
        <v>206</v>
      </c>
      <c r="G54" s="10" t="s">
        <v>207</v>
      </c>
    </row>
    <row r="55" spans="1:7" x14ac:dyDescent="0.25">
      <c r="A55" s="14">
        <v>9</v>
      </c>
      <c r="B55" t="s">
        <v>201</v>
      </c>
      <c r="C55" t="s">
        <v>208</v>
      </c>
      <c r="D55" s="11" t="s">
        <v>209</v>
      </c>
      <c r="E55" s="11" t="s">
        <v>37</v>
      </c>
      <c r="F55" s="10" t="s">
        <v>210</v>
      </c>
      <c r="G55" s="10" t="s">
        <v>211</v>
      </c>
    </row>
    <row r="56" spans="1:7" x14ac:dyDescent="0.25">
      <c r="A56" s="14">
        <v>9</v>
      </c>
      <c r="B56" t="s">
        <v>201</v>
      </c>
      <c r="C56" t="s">
        <v>212</v>
      </c>
      <c r="D56" s="11" t="s">
        <v>209</v>
      </c>
      <c r="E56" s="11" t="s">
        <v>37</v>
      </c>
      <c r="F56" s="10" t="s">
        <v>210</v>
      </c>
      <c r="G56" s="10" t="s">
        <v>213</v>
      </c>
    </row>
    <row r="57" spans="1:7" x14ac:dyDescent="0.25">
      <c r="A57" s="14">
        <v>9</v>
      </c>
      <c r="B57" t="s">
        <v>201</v>
      </c>
      <c r="C57" t="s">
        <v>214</v>
      </c>
      <c r="D57" s="11" t="s">
        <v>66</v>
      </c>
      <c r="E57" s="11" t="s">
        <v>37</v>
      </c>
      <c r="F57" s="10" t="s">
        <v>215</v>
      </c>
      <c r="G57" s="10" t="s">
        <v>216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2BCE-4BC3-4AF4-9AC2-B6BAE5041B9A}">
  <dimension ref="A1:F24"/>
  <sheetViews>
    <sheetView workbookViewId="0">
      <selection activeCell="I14" sqref="I14"/>
    </sheetView>
  </sheetViews>
  <sheetFormatPr defaultRowHeight="15" x14ac:dyDescent="0.25"/>
  <cols>
    <col min="1" max="1" width="18.140625" customWidth="1"/>
    <col min="2" max="2" width="21" customWidth="1"/>
    <col min="3" max="3" width="38.140625" customWidth="1"/>
    <col min="4" max="6" width="13.28515625" customWidth="1"/>
  </cols>
  <sheetData>
    <row r="1" spans="1:6" ht="32.1" customHeight="1" x14ac:dyDescent="0.25">
      <c r="A1" s="19" t="s">
        <v>31</v>
      </c>
      <c r="B1" s="19"/>
      <c r="C1" s="19"/>
      <c r="D1" s="19"/>
      <c r="E1" s="19"/>
      <c r="F1" s="19"/>
    </row>
    <row r="2" spans="1:6" ht="24" customHeight="1" x14ac:dyDescent="0.25">
      <c r="A2" s="20" t="s">
        <v>32</v>
      </c>
      <c r="B2" s="20"/>
      <c r="C2" s="20"/>
      <c r="D2" s="20"/>
      <c r="E2" s="20"/>
      <c r="F2" s="20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1" t="s">
        <v>33</v>
      </c>
      <c r="B4" s="21"/>
      <c r="C4" s="21"/>
      <c r="D4" s="21"/>
      <c r="E4" s="21"/>
      <c r="F4" s="21"/>
    </row>
    <row r="5" spans="1:6" x14ac:dyDescent="0.25">
      <c r="A5" s="7" t="s">
        <v>34</v>
      </c>
      <c r="B5" s="7" t="s">
        <v>35</v>
      </c>
      <c r="C5" s="7" t="s">
        <v>36</v>
      </c>
      <c r="D5" s="1"/>
      <c r="E5" s="1"/>
      <c r="F5" s="1"/>
    </row>
    <row r="6" spans="1:6" x14ac:dyDescent="0.25">
      <c r="A6" s="1" t="s">
        <v>22</v>
      </c>
      <c r="B6" s="1" t="s">
        <v>37</v>
      </c>
      <c r="C6" s="6" t="s">
        <v>38</v>
      </c>
      <c r="D6" s="1"/>
      <c r="E6" s="1"/>
      <c r="F6" s="1"/>
    </row>
    <row r="7" spans="1:6" ht="30" x14ac:dyDescent="0.25">
      <c r="A7" s="1" t="s">
        <v>23</v>
      </c>
      <c r="B7" s="1" t="s">
        <v>37</v>
      </c>
      <c r="C7" s="6" t="s">
        <v>39</v>
      </c>
      <c r="D7" s="1"/>
      <c r="E7" s="1"/>
      <c r="F7" s="1"/>
    </row>
    <row r="8" spans="1:6" x14ac:dyDescent="0.25">
      <c r="A8" s="1" t="s">
        <v>24</v>
      </c>
      <c r="B8" s="1" t="s">
        <v>37</v>
      </c>
      <c r="C8" s="6" t="s">
        <v>40</v>
      </c>
      <c r="D8" s="1"/>
      <c r="E8" s="1"/>
      <c r="F8" s="1"/>
    </row>
    <row r="9" spans="1:6" x14ac:dyDescent="0.25">
      <c r="A9" s="1" t="s">
        <v>25</v>
      </c>
      <c r="B9" s="1" t="s">
        <v>41</v>
      </c>
      <c r="C9" s="6" t="s">
        <v>42</v>
      </c>
      <c r="D9" s="1"/>
      <c r="E9" s="1"/>
      <c r="F9" s="1"/>
    </row>
    <row r="10" spans="1:6" x14ac:dyDescent="0.25">
      <c r="A10" s="1" t="s">
        <v>26</v>
      </c>
      <c r="B10" s="1" t="s">
        <v>37</v>
      </c>
      <c r="C10" s="6" t="s">
        <v>43</v>
      </c>
      <c r="D10" s="1"/>
      <c r="E10" s="1"/>
      <c r="F10" s="1"/>
    </row>
    <row r="11" spans="1:6" x14ac:dyDescent="0.25">
      <c r="A11" s="1" t="s">
        <v>27</v>
      </c>
      <c r="B11" s="1" t="s">
        <v>37</v>
      </c>
      <c r="C11" s="6" t="s">
        <v>44</v>
      </c>
      <c r="D11" s="1"/>
      <c r="E11" s="1"/>
      <c r="F11" s="1"/>
    </row>
    <row r="12" spans="1:6" x14ac:dyDescent="0.25">
      <c r="A12" s="1" t="s">
        <v>28</v>
      </c>
      <c r="B12" s="1" t="s">
        <v>41</v>
      </c>
      <c r="C12" s="6" t="s">
        <v>45</v>
      </c>
      <c r="D12" s="1"/>
      <c r="E12" s="1"/>
      <c r="F12" s="1"/>
    </row>
    <row r="13" spans="1:6" x14ac:dyDescent="0.25">
      <c r="A13" s="1" t="s">
        <v>29</v>
      </c>
      <c r="B13" s="1" t="s">
        <v>41</v>
      </c>
      <c r="C13" s="6" t="s">
        <v>46</v>
      </c>
      <c r="D13" s="1"/>
      <c r="E13" s="1"/>
      <c r="F13" s="1"/>
    </row>
    <row r="14" spans="1:6" x14ac:dyDescent="0.25">
      <c r="A14" s="1" t="s">
        <v>30</v>
      </c>
      <c r="B14" s="1" t="s">
        <v>41</v>
      </c>
      <c r="C14" s="6" t="s">
        <v>47</v>
      </c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21" t="s">
        <v>48</v>
      </c>
      <c r="B16" s="21"/>
      <c r="C16" s="21"/>
      <c r="D16" s="21"/>
      <c r="E16" s="21"/>
      <c r="F16" s="21"/>
    </row>
    <row r="17" spans="1:6" x14ac:dyDescent="0.25">
      <c r="A17" s="2">
        <v>1</v>
      </c>
      <c r="B17" s="18" t="s">
        <v>49</v>
      </c>
      <c r="C17" s="18"/>
      <c r="D17" s="18"/>
      <c r="E17" s="18"/>
      <c r="F17" s="18"/>
    </row>
    <row r="18" spans="1:6" x14ac:dyDescent="0.25">
      <c r="A18" s="2">
        <v>2</v>
      </c>
      <c r="B18" s="18" t="s">
        <v>50</v>
      </c>
      <c r="C18" s="18"/>
      <c r="D18" s="18"/>
      <c r="E18" s="18"/>
      <c r="F18" s="18"/>
    </row>
    <row r="19" spans="1:6" x14ac:dyDescent="0.25">
      <c r="A19" s="2">
        <v>3</v>
      </c>
      <c r="B19" s="18" t="s">
        <v>51</v>
      </c>
      <c r="C19" s="18"/>
      <c r="D19" s="18"/>
      <c r="E19" s="18"/>
      <c r="F19" s="18"/>
    </row>
    <row r="20" spans="1:6" x14ac:dyDescent="0.25">
      <c r="A20" s="2">
        <v>4</v>
      </c>
      <c r="B20" s="18" t="s">
        <v>52</v>
      </c>
      <c r="C20" s="18"/>
      <c r="D20" s="18"/>
      <c r="E20" s="18"/>
      <c r="F20" s="18"/>
    </row>
    <row r="21" spans="1:6" x14ac:dyDescent="0.25">
      <c r="A21" s="2">
        <v>5</v>
      </c>
      <c r="B21" s="18" t="s">
        <v>53</v>
      </c>
      <c r="C21" s="18"/>
      <c r="D21" s="18"/>
      <c r="E21" s="18"/>
      <c r="F21" s="18"/>
    </row>
    <row r="22" spans="1:6" x14ac:dyDescent="0.25">
      <c r="A22" s="2">
        <v>6</v>
      </c>
      <c r="B22" s="18" t="s">
        <v>54</v>
      </c>
      <c r="C22" s="18"/>
      <c r="D22" s="18"/>
      <c r="E22" s="18"/>
      <c r="F22" s="18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22" t="s">
        <v>55</v>
      </c>
      <c r="B24" s="22"/>
      <c r="C24" s="22"/>
      <c r="D24" s="22"/>
      <c r="E24" s="22"/>
      <c r="F24" s="22"/>
    </row>
  </sheetData>
  <mergeCells count="11">
    <mergeCell ref="B19:F19"/>
    <mergeCell ref="B20:F20"/>
    <mergeCell ref="B21:F21"/>
    <mergeCell ref="B22:F22"/>
    <mergeCell ref="A24:F24"/>
    <mergeCell ref="B18:F18"/>
    <mergeCell ref="A1:F1"/>
    <mergeCell ref="A2:F2"/>
    <mergeCell ref="A4:F4"/>
    <mergeCell ref="A16:F16"/>
    <mergeCell ref="B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안내</vt:lpstr>
      <vt:lpstr>Population Data</vt:lpstr>
      <vt:lpstr>QGIS 필드 설계</vt:lpstr>
      <vt:lpstr>QGIS Guide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Hyeok Hwang</dc:creator>
  <cp:lastModifiedBy>Hyeok Hwang</cp:lastModifiedBy>
  <dcterms:created xsi:type="dcterms:W3CDTF">2026-09-04T10:44:16Z</dcterms:created>
  <dcterms:modified xsi:type="dcterms:W3CDTF">2026-09-07T13:34:44Z</dcterms:modified>
</cp:coreProperties>
</file>